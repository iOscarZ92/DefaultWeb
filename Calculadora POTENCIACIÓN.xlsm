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2275273\Documents\Virtual Machines\VM_32bits\EAMS\SVN_Seguros\Seguros\"/>
    </mc:Choice>
  </mc:AlternateContent>
  <bookViews>
    <workbookView xWindow="240" yWindow="270" windowWidth="11715" windowHeight="7305"/>
  </bookViews>
  <sheets>
    <sheet name="SIMULADOR" sheetId="1" r:id="rId1"/>
    <sheet name="Hoja2" sheetId="2" state="hidden" r:id="rId2"/>
    <sheet name="Hoja3" sheetId="3" state="hidden" r:id="rId3"/>
  </sheets>
  <definedNames>
    <definedName name="BEN">Hoja2!$B$9:$B$13</definedName>
    <definedName name="CUOTA">SIMULADOR!$E$12</definedName>
    <definedName name="MESES">SIMULADOR!$E$11</definedName>
    <definedName name="MESES2">SIMULADOR!$E$17</definedName>
    <definedName name="MONTO1">SIMULADOR!$M$14</definedName>
    <definedName name="MONTO2">SIMULADOR!$M$15</definedName>
    <definedName name="MONTO3">SIMULADOR!$M$16</definedName>
    <definedName name="MONTO4">SIMULADOR!$M$17</definedName>
    <definedName name="MONTO5">SIMULADOR!$M$18</definedName>
    <definedName name="NOMINA">SIMULADOR!$E$14</definedName>
    <definedName name="NOMINAMES">SIMULADOR!$E$14</definedName>
    <definedName name="NOMINAQUIN">SIMULADOR!$E$15</definedName>
    <definedName name="NUMERO">SIMULADOR!$L$11</definedName>
    <definedName name="PERCEPCION">SIMULADOR!$E$10</definedName>
  </definedNames>
  <calcPr calcId="162913"/>
</workbook>
</file>

<file path=xl/calcChain.xml><?xml version="1.0" encoding="utf-8"?>
<calcChain xmlns="http://schemas.openxmlformats.org/spreadsheetml/2006/main">
  <c r="E17" i="1" l="1"/>
  <c r="E18" i="1" s="1"/>
  <c r="AU17" i="1" l="1"/>
  <c r="AW13" i="1"/>
  <c r="AW12" i="1"/>
  <c r="AW11" i="1"/>
  <c r="E4" i="2"/>
  <c r="E5" i="2"/>
  <c r="E3" i="2"/>
</calcChain>
</file>

<file path=xl/comments1.xml><?xml version="1.0" encoding="utf-8"?>
<comments xmlns="http://schemas.openxmlformats.org/spreadsheetml/2006/main">
  <authors>
    <author>ALEJANDRA ACACIA FERRAEZ CASTAÑEDA</author>
  </authors>
  <commentList>
    <comment ref="E11" authorId="0" shapeId="0">
      <text>
        <r>
          <rPr>
            <b/>
            <sz val="9"/>
            <color indexed="81"/>
            <rFont val="Tahoma"/>
            <family val="2"/>
          </rPr>
          <t>Puede seleccionar el número de meses a potenciar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Puede seleccionar el número de beneficiarios a contemplar 
</t>
        </r>
      </text>
    </comment>
  </commentList>
</comments>
</file>

<file path=xl/sharedStrings.xml><?xml version="1.0" encoding="utf-8"?>
<sst xmlns="http://schemas.openxmlformats.org/spreadsheetml/2006/main" count="21" uniqueCount="19">
  <si>
    <r>
      <t xml:space="preserve">Percepción Ordinaria Bruta: 
</t>
    </r>
    <r>
      <rPr>
        <sz val="10"/>
        <color theme="1"/>
        <rFont val="Century Gothic"/>
        <family val="2"/>
      </rPr>
      <t>(Sueldo Base + Compensanción Garantizada)</t>
    </r>
  </si>
  <si>
    <t>Meses a Potenciar:</t>
  </si>
  <si>
    <t>Meses</t>
  </si>
  <si>
    <t>Porcentaje</t>
  </si>
  <si>
    <t>Descuento vía Nómina quincenal:</t>
  </si>
  <si>
    <t>Descuento vía Nómina Mensual:</t>
  </si>
  <si>
    <t>Cuota Mensual:</t>
  </si>
  <si>
    <t>Campos a llenar</t>
  </si>
  <si>
    <r>
      <rPr>
        <b/>
        <i/>
        <sz val="10"/>
        <color theme="3"/>
        <rFont val="Century Gothic"/>
        <family val="2"/>
      </rPr>
      <t>Instrucciones:</t>
    </r>
    <r>
      <rPr>
        <sz val="10"/>
        <color theme="1"/>
        <rFont val="Century Gothic"/>
        <family val="2"/>
      </rPr>
      <t xml:space="preserve"> Captura la información que se solicta en los campos que se indican</t>
    </r>
  </si>
  <si>
    <t>Cálculo en automático</t>
  </si>
  <si>
    <r>
      <rPr>
        <b/>
        <sz val="26"/>
        <color rgb="FFC00000"/>
        <rFont val="Century Gothic"/>
        <family val="2"/>
      </rPr>
      <t>SEGURO DE VIDA INSTITUCIONAL</t>
    </r>
    <r>
      <rPr>
        <sz val="11"/>
        <color theme="1"/>
        <rFont val="Century Gothic"/>
        <family val="2"/>
      </rPr>
      <t xml:space="preserve">
</t>
    </r>
    <r>
      <rPr>
        <b/>
        <sz val="16"/>
        <color theme="3"/>
        <rFont val="Century Gothic"/>
        <family val="2"/>
      </rPr>
      <t>ADMINISTRACIÓN PÚBLICA FEDERAL</t>
    </r>
    <r>
      <rPr>
        <sz val="16"/>
        <color theme="1"/>
        <rFont val="Century Gothic"/>
        <family val="2"/>
      </rPr>
      <t xml:space="preserve">
</t>
    </r>
    <r>
      <rPr>
        <b/>
        <i/>
        <sz val="14"/>
        <color theme="1"/>
        <rFont val="Century Gothic"/>
        <family val="2"/>
      </rPr>
      <t>"SIMULADOR DE POTENCIACIÓN DE PÓLIZA DE VIDA"</t>
    </r>
  </si>
  <si>
    <t>TOTAL DE MESES 
A INDEMNIZAR:</t>
  </si>
  <si>
    <t>MONTO TOTAL  
A INDEMNIZAR:</t>
  </si>
  <si>
    <t>Número de Beneficiarios:</t>
  </si>
  <si>
    <t>ESTIMACIÓN DE MONTO A INDEMNIZAR POR BENEFICIARIO</t>
  </si>
  <si>
    <t>Porcentaje a Indeminizar</t>
  </si>
  <si>
    <t>Monto a 
Indeminizar</t>
  </si>
  <si>
    <r>
      <rPr>
        <b/>
        <sz val="9"/>
        <color theme="1"/>
        <rFont val="Century Gothic"/>
        <family val="2"/>
      </rPr>
      <t>Nota:</t>
    </r>
    <r>
      <rPr>
        <sz val="9"/>
        <color theme="1"/>
        <rFont val="Century Gothic"/>
        <family val="2"/>
      </rPr>
      <t xml:space="preserve"> Recuerda que tú póliza te protege con un suma básica de </t>
    </r>
    <r>
      <rPr>
        <b/>
        <sz val="10"/>
        <color theme="1"/>
        <rFont val="Century Gothic"/>
        <family val="2"/>
      </rPr>
      <t>40 meses</t>
    </r>
    <r>
      <rPr>
        <sz val="9"/>
        <color theme="1"/>
        <rFont val="Century Gothic"/>
        <family val="2"/>
      </rPr>
      <t xml:space="preserve"> de sueldo</t>
    </r>
  </si>
  <si>
    <t>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</si>
</sst>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0"/>
      <color theme="1"/>
      <name val="Century Gothic"/>
      <family val="2"/>
    </font>
    <font>
      <b/>
      <sz val="14"/>
      <color theme="1"/>
      <name val="Century Gothic"/>
      <family val="2"/>
    </font>
    <font>
      <b/>
      <i/>
      <sz val="11"/>
      <color theme="3"/>
      <name val="Century Gothic"/>
      <family val="2"/>
    </font>
    <font>
      <sz val="9"/>
      <color theme="1"/>
      <name val="Century Gothic"/>
      <family val="2"/>
    </font>
    <font>
      <sz val="9"/>
      <color theme="1"/>
      <name val="Calibri"/>
      <family val="2"/>
      <scheme val="minor"/>
    </font>
    <font>
      <b/>
      <i/>
      <sz val="10"/>
      <color theme="3"/>
      <name val="Century Gothic"/>
      <family val="2"/>
    </font>
    <font>
      <sz val="16"/>
      <color theme="1"/>
      <name val="Century Gothic"/>
      <family val="2"/>
    </font>
    <font>
      <b/>
      <sz val="20"/>
      <color theme="1"/>
      <name val="Century Gothic"/>
      <family val="2"/>
    </font>
    <font>
      <b/>
      <sz val="26"/>
      <color rgb="FFC00000"/>
      <name val="Century Gothic"/>
      <family val="2"/>
    </font>
    <font>
      <b/>
      <i/>
      <sz val="14"/>
      <color theme="1"/>
      <name val="Century Gothic"/>
      <family val="2"/>
    </font>
    <font>
      <b/>
      <sz val="16"/>
      <color theme="3"/>
      <name val="Century Gothic"/>
      <family val="2"/>
    </font>
    <font>
      <b/>
      <sz val="14"/>
      <color rgb="FFC00000"/>
      <name val="Century Gothic"/>
      <family val="2"/>
    </font>
    <font>
      <b/>
      <i/>
      <sz val="14"/>
      <color rgb="FFC00000"/>
      <name val="Century Gothic"/>
      <family val="2"/>
    </font>
    <font>
      <b/>
      <sz val="9"/>
      <color theme="1"/>
      <name val="Century Gothic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entury Gothic"/>
      <family val="2"/>
    </font>
    <font>
      <b/>
      <sz val="12"/>
      <color rgb="FF000000"/>
      <name val="Century Gothic"/>
      <family val="2"/>
    </font>
    <font>
      <sz val="14"/>
      <color theme="1"/>
      <name val="Century Gothic"/>
      <family val="2"/>
    </font>
    <font>
      <sz val="11"/>
      <color rgb="FFFF0000"/>
      <name val="Calibri"/>
      <family val="2"/>
      <scheme val="minor"/>
    </font>
    <font>
      <sz val="11"/>
      <color rgb="FFFF0000"/>
      <name val="Century Gothic"/>
      <family val="2"/>
    </font>
    <font>
      <b/>
      <i/>
      <sz val="14"/>
      <color theme="3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8A01B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2" borderId="0" xfId="0" applyFill="1" applyProtection="1">
      <protection locked="0"/>
    </xf>
    <xf numFmtId="0" fontId="1" fillId="2" borderId="0" xfId="0" applyFont="1" applyFill="1" applyProtection="1">
      <protection locked="0"/>
    </xf>
    <xf numFmtId="0" fontId="0" fillId="3" borderId="13" xfId="0" applyFill="1" applyBorder="1" applyProtection="1">
      <protection locked="0"/>
    </xf>
    <xf numFmtId="0" fontId="0" fillId="3" borderId="15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7" fillId="2" borderId="0" xfId="0" applyFont="1" applyFill="1" applyProtection="1">
      <protection locked="0"/>
    </xf>
    <xf numFmtId="0" fontId="7" fillId="3" borderId="16" xfId="0" applyFont="1" applyFill="1" applyBorder="1" applyProtection="1">
      <protection locked="0"/>
    </xf>
    <xf numFmtId="0" fontId="6" fillId="3" borderId="0" xfId="0" applyFont="1" applyFill="1" applyBorder="1" applyProtection="1">
      <protection locked="0"/>
    </xf>
    <xf numFmtId="0" fontId="7" fillId="3" borderId="0" xfId="0" applyFont="1" applyFill="1" applyBorder="1" applyProtection="1">
      <protection locked="0"/>
    </xf>
    <xf numFmtId="0" fontId="7" fillId="3" borderId="17" xfId="0" applyFont="1" applyFill="1" applyBorder="1" applyProtection="1">
      <protection locked="0"/>
    </xf>
    <xf numFmtId="0" fontId="7" fillId="3" borderId="0" xfId="0" applyFont="1" applyFill="1" applyProtection="1">
      <protection locked="0"/>
    </xf>
    <xf numFmtId="0" fontId="6" fillId="4" borderId="1" xfId="0" applyFont="1" applyFill="1" applyBorder="1" applyProtection="1">
      <protection locked="0"/>
    </xf>
    <xf numFmtId="0" fontId="6" fillId="3" borderId="0" xfId="0" applyFont="1" applyFill="1" applyBorder="1" applyAlignment="1" applyProtection="1">
      <alignment vertical="center"/>
      <protection locked="0"/>
    </xf>
    <xf numFmtId="0" fontId="6" fillId="7" borderId="1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6" fillId="6" borderId="0" xfId="0" applyFont="1" applyFill="1" applyBorder="1" applyAlignment="1" applyProtection="1">
      <alignment vertical="center"/>
      <protection locked="0"/>
    </xf>
    <xf numFmtId="0" fontId="1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right" vertical="center" wrapText="1"/>
      <protection locked="0"/>
    </xf>
    <xf numFmtId="0" fontId="2" fillId="3" borderId="6" xfId="0" applyFont="1" applyFill="1" applyBorder="1" applyAlignment="1" applyProtection="1">
      <alignment horizontal="right" vertical="center" wrapText="1"/>
      <protection locked="0"/>
    </xf>
    <xf numFmtId="0" fontId="2" fillId="3" borderId="6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Protection="1">
      <protection locked="0"/>
    </xf>
    <xf numFmtId="0" fontId="1" fillId="3" borderId="0" xfId="0" applyFont="1" applyFill="1" applyBorder="1" applyAlignment="1" applyProtection="1">
      <alignment horizontal="right" wrapText="1"/>
      <protection locked="0"/>
    </xf>
    <xf numFmtId="0" fontId="0" fillId="3" borderId="18" xfId="0" applyFill="1" applyBorder="1" applyProtection="1">
      <protection locked="0"/>
    </xf>
    <xf numFmtId="0" fontId="1" fillId="3" borderId="19" xfId="0" applyFont="1" applyFill="1" applyBorder="1" applyProtection="1">
      <protection locked="0"/>
    </xf>
    <xf numFmtId="0" fontId="0" fillId="3" borderId="19" xfId="0" applyFill="1" applyBorder="1" applyProtection="1">
      <protection locked="0"/>
    </xf>
    <xf numFmtId="0" fontId="0" fillId="3" borderId="20" xfId="0" applyFill="1" applyBorder="1" applyProtection="1">
      <protection locked="0"/>
    </xf>
    <xf numFmtId="0" fontId="1" fillId="0" borderId="0" xfId="0" applyFont="1" applyProtection="1">
      <protection locked="0"/>
    </xf>
    <xf numFmtId="0" fontId="22" fillId="3" borderId="0" xfId="0" applyFont="1" applyFill="1" applyBorder="1" applyProtection="1">
      <protection locked="0"/>
    </xf>
    <xf numFmtId="0" fontId="22" fillId="3" borderId="17" xfId="0" applyFont="1" applyFill="1" applyBorder="1" applyProtection="1">
      <protection locked="0"/>
    </xf>
    <xf numFmtId="0" fontId="23" fillId="3" borderId="0" xfId="0" applyFont="1" applyFill="1" applyBorder="1" applyProtection="1">
      <protection locked="0"/>
    </xf>
    <xf numFmtId="0" fontId="0" fillId="0" borderId="0" xfId="0" applyAlignment="1">
      <alignment horizontal="center"/>
    </xf>
    <xf numFmtId="0" fontId="1" fillId="5" borderId="0" xfId="0" applyFont="1" applyFill="1" applyBorder="1" applyAlignment="1" applyProtection="1">
      <alignment horizontal="center" vertical="center" wrapText="1"/>
      <protection locked="0"/>
    </xf>
    <xf numFmtId="164" fontId="4" fillId="8" borderId="7" xfId="0" applyNumberFormat="1" applyFont="1" applyFill="1" applyBorder="1" applyAlignment="1" applyProtection="1">
      <alignment horizontal="center" vertical="center"/>
    </xf>
    <xf numFmtId="0" fontId="4" fillId="8" borderId="8" xfId="0" applyFont="1" applyFill="1" applyBorder="1" applyAlignment="1" applyProtection="1">
      <alignment horizontal="center" vertical="center"/>
    </xf>
    <xf numFmtId="0" fontId="24" fillId="3" borderId="7" xfId="0" applyFont="1" applyFill="1" applyBorder="1" applyAlignment="1" applyProtection="1">
      <alignment horizontal="center" vertical="center"/>
      <protection locked="0"/>
    </xf>
    <xf numFmtId="0" fontId="24" fillId="3" borderId="8" xfId="0" applyFont="1" applyFill="1" applyBorder="1" applyAlignment="1" applyProtection="1">
      <alignment horizontal="center" vertical="center"/>
      <protection locked="0"/>
    </xf>
    <xf numFmtId="9" fontId="4" fillId="8" borderId="7" xfId="0" applyNumberFormat="1" applyFont="1" applyFill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 wrapText="1"/>
      <protection locked="0"/>
    </xf>
    <xf numFmtId="0" fontId="2" fillId="0" borderId="3" xfId="0" applyFont="1" applyBorder="1" applyAlignment="1" applyProtection="1">
      <alignment horizontal="right" vertical="center" wrapText="1"/>
      <protection locked="0"/>
    </xf>
    <xf numFmtId="0" fontId="2" fillId="0" borderId="4" xfId="0" applyFont="1" applyBorder="1" applyAlignment="1" applyProtection="1">
      <alignment horizontal="right" vertical="center" wrapText="1"/>
      <protection locked="0"/>
    </xf>
    <xf numFmtId="0" fontId="2" fillId="0" borderId="5" xfId="0" applyFont="1" applyBorder="1" applyAlignment="1" applyProtection="1">
      <alignment horizontal="right" vertical="center" wrapText="1"/>
      <protection locked="0"/>
    </xf>
    <xf numFmtId="0" fontId="4" fillId="7" borderId="2" xfId="0" applyFont="1" applyFill="1" applyBorder="1" applyAlignment="1" applyProtection="1">
      <alignment horizontal="center" vertical="center"/>
    </xf>
    <xf numFmtId="0" fontId="4" fillId="7" borderId="6" xfId="0" applyFont="1" applyFill="1" applyBorder="1" applyAlignment="1" applyProtection="1">
      <alignment horizontal="center" vertical="center"/>
    </xf>
    <xf numFmtId="0" fontId="4" fillId="7" borderId="3" xfId="0" applyFont="1" applyFill="1" applyBorder="1" applyAlignment="1" applyProtection="1">
      <alignment horizontal="center" vertical="center"/>
    </xf>
    <xf numFmtId="0" fontId="4" fillId="7" borderId="4" xfId="0" applyFont="1" applyFill="1" applyBorder="1" applyAlignment="1" applyProtection="1">
      <alignment horizontal="center" vertical="center"/>
    </xf>
    <xf numFmtId="0" fontId="4" fillId="7" borderId="22" xfId="0" applyFont="1" applyFill="1" applyBorder="1" applyAlignment="1" applyProtection="1">
      <alignment horizontal="center" vertical="center"/>
    </xf>
    <xf numFmtId="0" fontId="4" fillId="7" borderId="5" xfId="0" applyFont="1" applyFill="1" applyBorder="1" applyAlignment="1" applyProtection="1">
      <alignment horizontal="center" vertical="center"/>
    </xf>
    <xf numFmtId="164" fontId="10" fillId="7" borderId="9" xfId="0" applyNumberFormat="1" applyFont="1" applyFill="1" applyBorder="1" applyAlignment="1" applyProtection="1">
      <alignment horizontal="center" vertical="center" wrapText="1"/>
    </xf>
    <xf numFmtId="0" fontId="10" fillId="7" borderId="10" xfId="0" applyFont="1" applyFill="1" applyBorder="1" applyAlignment="1" applyProtection="1">
      <alignment horizontal="center" vertical="center" wrapText="1"/>
    </xf>
    <xf numFmtId="0" fontId="10" fillId="7" borderId="11" xfId="0" applyFont="1" applyFill="1" applyBorder="1" applyAlignment="1" applyProtection="1">
      <alignment horizontal="center" vertical="center" wrapText="1"/>
    </xf>
    <xf numFmtId="0" fontId="10" fillId="7" borderId="9" xfId="0" applyFont="1" applyFill="1" applyBorder="1" applyAlignment="1" applyProtection="1">
      <alignment horizontal="center" vertical="center" wrapText="1"/>
    </xf>
    <xf numFmtId="0" fontId="14" fillId="3" borderId="9" xfId="0" applyFont="1" applyFill="1" applyBorder="1" applyAlignment="1" applyProtection="1">
      <alignment horizontal="center" vertical="center" wrapText="1"/>
      <protection locked="0"/>
    </xf>
    <xf numFmtId="0" fontId="14" fillId="3" borderId="1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right" vertical="center" wrapText="1"/>
      <protection locked="0"/>
    </xf>
    <xf numFmtId="164" fontId="4" fillId="7" borderId="7" xfId="0" applyNumberFormat="1" applyFont="1" applyFill="1" applyBorder="1" applyAlignment="1" applyProtection="1">
      <alignment horizontal="center" vertical="center"/>
    </xf>
    <xf numFmtId="164" fontId="4" fillId="7" borderId="12" xfId="0" applyNumberFormat="1" applyFont="1" applyFill="1" applyBorder="1" applyAlignment="1" applyProtection="1">
      <alignment horizontal="center" vertical="center"/>
    </xf>
    <xf numFmtId="164" fontId="4" fillId="7" borderId="8" xfId="0" applyNumberFormat="1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right" vertical="center" wrapText="1"/>
      <protection locked="0"/>
    </xf>
    <xf numFmtId="0" fontId="2" fillId="3" borderId="12" xfId="0" applyFont="1" applyFill="1" applyBorder="1" applyAlignment="1" applyProtection="1">
      <alignment horizontal="right" vertical="center" wrapText="1"/>
      <protection locked="0"/>
    </xf>
    <xf numFmtId="0" fontId="2" fillId="3" borderId="8" xfId="0" applyFont="1" applyFill="1" applyBorder="1" applyAlignment="1" applyProtection="1">
      <alignment horizontal="right" vertical="center" wrapText="1"/>
      <protection locked="0"/>
    </xf>
    <xf numFmtId="0" fontId="2" fillId="4" borderId="7" xfId="0" applyFont="1" applyFill="1" applyBorder="1" applyAlignment="1" applyProtection="1">
      <alignment horizontal="center" vertical="center" wrapText="1"/>
      <protection locked="0"/>
    </xf>
    <xf numFmtId="0" fontId="2" fillId="4" borderId="12" xfId="0" applyFont="1" applyFill="1" applyBorder="1" applyAlignment="1" applyProtection="1">
      <alignment horizontal="center" vertical="center" wrapText="1"/>
      <protection locked="0"/>
    </xf>
    <xf numFmtId="0" fontId="2" fillId="4" borderId="8" xfId="0" applyFont="1" applyFill="1" applyBorder="1" applyAlignment="1" applyProtection="1">
      <alignment horizontal="center" vertical="center" wrapText="1"/>
      <protection locked="0"/>
    </xf>
    <xf numFmtId="0" fontId="5" fillId="3" borderId="21" xfId="0" applyFont="1" applyFill="1" applyBorder="1" applyAlignment="1" applyProtection="1">
      <alignment horizontal="center" vertical="center" wrapText="1"/>
      <protection locked="0"/>
    </xf>
    <xf numFmtId="0" fontId="1" fillId="3" borderId="14" xfId="0" applyFont="1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 applyProtection="1">
      <alignment horizontal="left" vertical="center" wrapText="1"/>
      <protection locked="0"/>
    </xf>
    <xf numFmtId="0" fontId="2" fillId="0" borderId="7" xfId="0" applyFont="1" applyBorder="1" applyAlignment="1" applyProtection="1">
      <alignment horizontal="right" vertical="center" wrapText="1"/>
      <protection locked="0"/>
    </xf>
    <xf numFmtId="0" fontId="2" fillId="0" borderId="8" xfId="0" applyFont="1" applyBorder="1" applyAlignment="1" applyProtection="1">
      <alignment horizontal="right" vertical="center" wrapText="1"/>
      <protection locked="0"/>
    </xf>
    <xf numFmtId="0" fontId="2" fillId="0" borderId="1" xfId="0" applyFont="1" applyBorder="1" applyAlignment="1" applyProtection="1">
      <alignment horizontal="right" vertical="center"/>
      <protection locked="0"/>
    </xf>
    <xf numFmtId="0" fontId="1" fillId="5" borderId="0" xfId="0" applyFont="1" applyFill="1" applyBorder="1" applyAlignment="1" applyProtection="1">
      <alignment horizontal="center" vertical="center" wrapText="1"/>
      <protection locked="0"/>
    </xf>
    <xf numFmtId="0" fontId="6" fillId="6" borderId="0" xfId="0" applyFont="1" applyFill="1" applyBorder="1" applyAlignment="1" applyProtection="1">
      <alignment horizontal="center"/>
      <protection locked="0"/>
    </xf>
    <xf numFmtId="0" fontId="15" fillId="3" borderId="0" xfId="0" applyFont="1" applyFill="1" applyBorder="1" applyAlignment="1" applyProtection="1">
      <alignment horizontal="center" vertical="center" wrapText="1"/>
      <protection locked="0"/>
    </xf>
    <xf numFmtId="0" fontId="21" fillId="4" borderId="7" xfId="0" applyFont="1" applyFill="1" applyBorder="1" applyAlignment="1" applyProtection="1">
      <alignment horizontal="center" vertical="center"/>
      <protection locked="0"/>
    </xf>
    <xf numFmtId="0" fontId="21" fillId="4" borderId="12" xfId="0" applyFont="1" applyFill="1" applyBorder="1" applyAlignment="1" applyProtection="1">
      <alignment horizontal="center" vertical="center"/>
      <protection locked="0"/>
    </xf>
    <xf numFmtId="0" fontId="21" fillId="4" borderId="8" xfId="0" applyFont="1" applyFill="1" applyBorder="1" applyAlignment="1" applyProtection="1">
      <alignment horizontal="center" vertical="center"/>
      <protection locked="0"/>
    </xf>
    <xf numFmtId="164" fontId="21" fillId="4" borderId="7" xfId="0" applyNumberFormat="1" applyFont="1" applyFill="1" applyBorder="1" applyAlignment="1" applyProtection="1">
      <alignment horizontal="center" vertical="center"/>
      <protection locked="0"/>
    </xf>
    <xf numFmtId="164" fontId="21" fillId="4" borderId="12" xfId="0" applyNumberFormat="1" applyFont="1" applyFill="1" applyBorder="1" applyAlignment="1" applyProtection="1">
      <alignment horizontal="center" vertical="center"/>
      <protection locked="0"/>
    </xf>
    <xf numFmtId="164" fontId="21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16</xdr:row>
          <xdr:rowOff>180975</xdr:rowOff>
        </xdr:from>
        <xdr:to>
          <xdr:col>15</xdr:col>
          <xdr:colOff>561975</xdr:colOff>
          <xdr:row>17</xdr:row>
          <xdr:rowOff>333375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entury Gothic"/>
                </a:rPr>
                <a:t>LIMPIAR CAMPOS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409575</xdr:colOff>
          <xdr:row>14</xdr:row>
          <xdr:rowOff>285750</xdr:rowOff>
        </xdr:from>
        <xdr:to>
          <xdr:col>15</xdr:col>
          <xdr:colOff>590550</xdr:colOff>
          <xdr:row>15</xdr:row>
          <xdr:rowOff>447675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entury Gothic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</xdr:colOff>
      <xdr:row>1</xdr:row>
      <xdr:rowOff>297658</xdr:rowOff>
    </xdr:from>
    <xdr:to>
      <xdr:col>5</xdr:col>
      <xdr:colOff>1202532</xdr:colOff>
      <xdr:row>1</xdr:row>
      <xdr:rowOff>682433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657" y="416721"/>
          <a:ext cx="4167188" cy="384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W42"/>
  <sheetViews>
    <sheetView tabSelected="1" zoomScale="80" zoomScaleNormal="80" workbookViewId="0"/>
  </sheetViews>
  <sheetFormatPr baseColWidth="10" defaultColWidth="0" defaultRowHeight="16.5" zeroHeight="1" x14ac:dyDescent="0.3"/>
  <cols>
    <col min="1" max="1" width="10.140625" style="3" customWidth="1"/>
    <col min="2" max="2" width="7.85546875" style="7" customWidth="1"/>
    <col min="3" max="3" width="2" style="34" customWidth="1"/>
    <col min="4" max="4" width="32.140625" style="34" customWidth="1"/>
    <col min="5" max="5" width="2.42578125" style="34" customWidth="1"/>
    <col min="6" max="6" width="31.140625" style="34" customWidth="1"/>
    <col min="7" max="7" width="25.28515625" style="28" customWidth="1"/>
    <col min="8" max="11" width="11.42578125" style="28" customWidth="1"/>
    <col min="12" max="12" width="12.7109375" style="28" customWidth="1"/>
    <col min="13" max="13" width="11.42578125" style="28" customWidth="1"/>
    <col min="14" max="14" width="13.42578125" style="28" customWidth="1"/>
    <col min="15" max="15" width="12.7109375" style="7" bestFit="1" customWidth="1"/>
    <col min="16" max="16" width="13" style="7" customWidth="1"/>
    <col min="17" max="44" width="11.42578125" style="3" hidden="1"/>
    <col min="45" max="16384" width="11.42578125" style="23" hidden="1"/>
  </cols>
  <sheetData>
    <row r="1" spans="1:49" s="3" customFormat="1" ht="9" customHeight="1" thickBot="1" x14ac:dyDescent="0.35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49" s="7" customFormat="1" ht="79.5" customHeight="1" x14ac:dyDescent="0.25">
      <c r="A2" s="3"/>
      <c r="B2" s="5"/>
      <c r="C2" s="72" t="s">
        <v>10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6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</row>
    <row r="3" spans="1:49" s="7" customFormat="1" ht="3.75" customHeight="1" x14ac:dyDescent="0.25">
      <c r="A3" s="3"/>
      <c r="B3" s="8"/>
      <c r="C3" s="39"/>
      <c r="D3" s="39"/>
      <c r="E3" s="39"/>
      <c r="F3" s="39"/>
      <c r="G3" s="39"/>
      <c r="H3" s="77"/>
      <c r="I3" s="77"/>
      <c r="J3" s="77"/>
      <c r="K3" s="77"/>
      <c r="L3" s="77"/>
      <c r="M3" s="77"/>
      <c r="N3" s="77"/>
      <c r="O3" s="77"/>
      <c r="P3" s="9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</row>
    <row r="4" spans="1:49" s="15" customFormat="1" ht="16.5" customHeight="1" x14ac:dyDescent="0.3">
      <c r="A4" s="10"/>
      <c r="B4" s="11"/>
      <c r="C4" s="73" t="s">
        <v>8</v>
      </c>
      <c r="D4" s="73"/>
      <c r="E4" s="73"/>
      <c r="F4" s="73"/>
      <c r="G4" s="73"/>
      <c r="H4" s="73"/>
      <c r="I4" s="12"/>
      <c r="J4" s="12"/>
      <c r="K4" s="12"/>
      <c r="L4" s="12"/>
      <c r="M4" s="12"/>
      <c r="N4" s="12"/>
      <c r="O4" s="13"/>
      <c r="P4" s="14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</row>
    <row r="5" spans="1:49" s="15" customFormat="1" ht="8.25" customHeight="1" x14ac:dyDescent="0.3">
      <c r="A5" s="10"/>
      <c r="B5" s="11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3"/>
      <c r="P5" s="14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</row>
    <row r="6" spans="1:49" s="15" customFormat="1" ht="12" customHeight="1" x14ac:dyDescent="0.3">
      <c r="A6" s="10"/>
      <c r="B6" s="11"/>
      <c r="C6" s="16"/>
      <c r="D6" s="17" t="s">
        <v>7</v>
      </c>
      <c r="E6" s="18"/>
      <c r="F6" s="17" t="s">
        <v>9</v>
      </c>
      <c r="G6" s="12" t="s">
        <v>17</v>
      </c>
      <c r="H6" s="12"/>
      <c r="I6" s="12"/>
      <c r="J6" s="12"/>
      <c r="K6" s="12"/>
      <c r="L6" s="12"/>
      <c r="M6" s="12"/>
      <c r="N6" s="12"/>
      <c r="O6" s="13"/>
      <c r="P6" s="14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</row>
    <row r="7" spans="1:49" s="15" customFormat="1" ht="6.75" customHeight="1" x14ac:dyDescent="0.3">
      <c r="A7" s="10"/>
      <c r="B7" s="11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3"/>
      <c r="P7" s="14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</row>
    <row r="8" spans="1:49" s="15" customFormat="1" ht="2.25" customHeight="1" x14ac:dyDescent="0.3">
      <c r="A8" s="10"/>
      <c r="B8" s="11"/>
      <c r="C8" s="19"/>
      <c r="D8" s="20"/>
      <c r="E8" s="20"/>
      <c r="F8" s="19"/>
      <c r="G8" s="19"/>
      <c r="H8" s="78"/>
      <c r="I8" s="78"/>
      <c r="J8" s="78"/>
      <c r="K8" s="78"/>
      <c r="L8" s="78"/>
      <c r="M8" s="78"/>
      <c r="N8" s="78"/>
      <c r="O8" s="78"/>
      <c r="P8" s="14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</row>
    <row r="9" spans="1:49" s="7" customFormat="1" ht="10.5" customHeight="1" x14ac:dyDescent="0.3">
      <c r="A9" s="3"/>
      <c r="B9" s="8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2"/>
      <c r="P9" s="9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</row>
    <row r="10" spans="1:49" ht="39" customHeight="1" x14ac:dyDescent="0.3">
      <c r="B10" s="8"/>
      <c r="C10" s="74" t="s">
        <v>0</v>
      </c>
      <c r="D10" s="75"/>
      <c r="E10" s="83"/>
      <c r="F10" s="84"/>
      <c r="G10" s="85"/>
      <c r="H10" s="21"/>
      <c r="I10" s="79" t="s">
        <v>14</v>
      </c>
      <c r="J10" s="79"/>
      <c r="K10" s="79"/>
      <c r="L10" s="79"/>
      <c r="M10" s="79"/>
      <c r="N10" s="79"/>
      <c r="O10" s="79"/>
      <c r="P10" s="9"/>
      <c r="AU10" s="24" t="s">
        <v>2</v>
      </c>
      <c r="AV10" s="24" t="s">
        <v>3</v>
      </c>
      <c r="AW10" s="24"/>
    </row>
    <row r="11" spans="1:49" ht="37.5" customHeight="1" x14ac:dyDescent="0.3">
      <c r="B11" s="8"/>
      <c r="C11" s="76" t="s">
        <v>1</v>
      </c>
      <c r="D11" s="76"/>
      <c r="E11" s="80"/>
      <c r="F11" s="81"/>
      <c r="G11" s="82"/>
      <c r="H11" s="21"/>
      <c r="I11" s="65" t="s">
        <v>13</v>
      </c>
      <c r="J11" s="66"/>
      <c r="K11" s="67"/>
      <c r="L11" s="68"/>
      <c r="M11" s="69"/>
      <c r="N11" s="70"/>
      <c r="O11" s="35"/>
      <c r="P11" s="36"/>
      <c r="AT11" s="24">
        <v>40</v>
      </c>
      <c r="AU11" s="24">
        <v>34</v>
      </c>
      <c r="AV11" s="24">
        <v>2.37</v>
      </c>
      <c r="AW11" s="24">
        <f>AT11+AU11</f>
        <v>74</v>
      </c>
    </row>
    <row r="12" spans="1:49" ht="14.25" customHeight="1" x14ac:dyDescent="0.3">
      <c r="B12" s="8"/>
      <c r="C12" s="45" t="s">
        <v>6</v>
      </c>
      <c r="D12" s="46"/>
      <c r="E12" s="49"/>
      <c r="F12" s="50"/>
      <c r="G12" s="51"/>
      <c r="H12" s="21"/>
      <c r="I12" s="25"/>
      <c r="J12" s="25"/>
      <c r="K12" s="26"/>
      <c r="L12" s="27"/>
      <c r="M12" s="27"/>
      <c r="N12" s="27"/>
      <c r="O12" s="35"/>
      <c r="P12" s="36"/>
      <c r="AT12" s="24">
        <v>40</v>
      </c>
      <c r="AU12" s="24">
        <v>51</v>
      </c>
      <c r="AV12" s="24">
        <v>4.03</v>
      </c>
      <c r="AW12" s="24">
        <f t="shared" ref="AW12:AW13" si="0">AT12+AU12</f>
        <v>91</v>
      </c>
    </row>
    <row r="13" spans="1:49" ht="28.5" customHeight="1" x14ac:dyDescent="0.3">
      <c r="B13" s="8"/>
      <c r="C13" s="47"/>
      <c r="D13" s="48"/>
      <c r="E13" s="52"/>
      <c r="F13" s="53"/>
      <c r="G13" s="54"/>
      <c r="H13" s="21"/>
      <c r="J13" s="29"/>
      <c r="K13" s="71" t="s">
        <v>15</v>
      </c>
      <c r="L13" s="71"/>
      <c r="M13" s="71" t="s">
        <v>16</v>
      </c>
      <c r="N13" s="71"/>
      <c r="O13" s="35"/>
      <c r="P13" s="36"/>
      <c r="AT13" s="24">
        <v>40</v>
      </c>
      <c r="AU13" s="24">
        <v>68</v>
      </c>
      <c r="AV13" s="24">
        <v>5.93</v>
      </c>
      <c r="AW13" s="24">
        <f t="shared" si="0"/>
        <v>108</v>
      </c>
    </row>
    <row r="14" spans="1:49" ht="36" customHeight="1" x14ac:dyDescent="0.3">
      <c r="B14" s="8"/>
      <c r="C14" s="61" t="s">
        <v>5</v>
      </c>
      <c r="D14" s="61"/>
      <c r="E14" s="62"/>
      <c r="F14" s="63"/>
      <c r="G14" s="64"/>
      <c r="H14" s="21"/>
      <c r="I14" s="42">
        <v>1</v>
      </c>
      <c r="J14" s="43"/>
      <c r="K14" s="44"/>
      <c r="L14" s="41"/>
      <c r="M14" s="40"/>
      <c r="N14" s="41"/>
      <c r="O14" s="37"/>
      <c r="P14" s="36"/>
    </row>
    <row r="15" spans="1:49" ht="38.25" customHeight="1" x14ac:dyDescent="0.3">
      <c r="B15" s="8"/>
      <c r="C15" s="61" t="s">
        <v>4</v>
      </c>
      <c r="D15" s="61"/>
      <c r="E15" s="62"/>
      <c r="F15" s="63"/>
      <c r="G15" s="64"/>
      <c r="H15" s="21"/>
      <c r="I15" s="42">
        <v>2</v>
      </c>
      <c r="J15" s="43"/>
      <c r="K15" s="44"/>
      <c r="L15" s="41"/>
      <c r="M15" s="40"/>
      <c r="N15" s="41"/>
      <c r="O15" s="35"/>
      <c r="P15" s="36"/>
      <c r="AU15" s="24">
        <v>34</v>
      </c>
    </row>
    <row r="16" spans="1:49" s="7" customFormat="1" ht="35.25" customHeight="1" thickBot="1" x14ac:dyDescent="0.35">
      <c r="A16" s="3"/>
      <c r="B16" s="8"/>
      <c r="C16" s="21"/>
      <c r="D16" s="21"/>
      <c r="E16" s="21"/>
      <c r="F16" s="21"/>
      <c r="G16" s="21"/>
      <c r="H16" s="21"/>
      <c r="I16" s="42">
        <v>3</v>
      </c>
      <c r="J16" s="43"/>
      <c r="K16" s="44"/>
      <c r="L16" s="41"/>
      <c r="M16" s="40"/>
      <c r="N16" s="41"/>
      <c r="O16" s="22"/>
      <c r="P16" s="9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</row>
    <row r="17" spans="1:47" s="7" customFormat="1" ht="38.25" customHeight="1" thickBot="1" x14ac:dyDescent="0.35">
      <c r="A17" s="3"/>
      <c r="B17" s="8"/>
      <c r="C17" s="59" t="s">
        <v>11</v>
      </c>
      <c r="D17" s="60"/>
      <c r="E17" s="58">
        <f>MESES+40</f>
        <v>40</v>
      </c>
      <c r="F17" s="56"/>
      <c r="G17" s="57"/>
      <c r="H17" s="21"/>
      <c r="I17" s="42">
        <v>4</v>
      </c>
      <c r="J17" s="43"/>
      <c r="K17" s="44"/>
      <c r="L17" s="41"/>
      <c r="M17" s="40"/>
      <c r="N17" s="41"/>
      <c r="O17" s="22"/>
      <c r="P17" s="9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U17" s="7">
        <f>VLOOKUP(AU15,AU11:AV13,2,0)</f>
        <v>2.37</v>
      </c>
    </row>
    <row r="18" spans="1:47" s="7" customFormat="1" ht="39.75" customHeight="1" thickBot="1" x14ac:dyDescent="0.35">
      <c r="A18" s="3"/>
      <c r="B18" s="8"/>
      <c r="C18" s="59" t="s">
        <v>12</v>
      </c>
      <c r="D18" s="60"/>
      <c r="E18" s="55">
        <f>PERCEPCION * MESES2</f>
        <v>0</v>
      </c>
      <c r="F18" s="56"/>
      <c r="G18" s="57"/>
      <c r="H18" s="21"/>
      <c r="I18" s="42">
        <v>5</v>
      </c>
      <c r="J18" s="43"/>
      <c r="K18" s="44"/>
      <c r="L18" s="41"/>
      <c r="M18" s="40"/>
      <c r="N18" s="41"/>
      <c r="O18" s="22"/>
      <c r="P18" s="9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</row>
    <row r="19" spans="1:47" s="7" customFormat="1" ht="17.25" thickBot="1" x14ac:dyDescent="0.35">
      <c r="A19" s="3"/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2"/>
      <c r="P19" s="3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</row>
    <row r="20" spans="1:47" s="3" customFormat="1" ht="45" hidden="1" customHeight="1" x14ac:dyDescent="0.3">
      <c r="H20" s="4"/>
      <c r="I20" s="4"/>
      <c r="J20" s="4"/>
      <c r="K20" s="4"/>
      <c r="L20" s="4"/>
      <c r="M20" s="4"/>
      <c r="N20" s="4"/>
    </row>
    <row r="21" spans="1:47" s="3" customFormat="1" hidden="1" x14ac:dyDescent="0.3"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47" s="3" customFormat="1" hidden="1" x14ac:dyDescent="0.3">
      <c r="C22" s="4"/>
      <c r="H22" s="4"/>
      <c r="I22" s="4"/>
      <c r="J22" s="4"/>
      <c r="K22" s="4"/>
      <c r="L22" s="4"/>
      <c r="M22" s="4"/>
      <c r="N22" s="4"/>
    </row>
    <row r="23" spans="1:47" s="3" customFormat="1" hidden="1" x14ac:dyDescent="0.3">
      <c r="C23" s="4"/>
      <c r="H23" s="4"/>
      <c r="I23" s="4"/>
      <c r="J23" s="4"/>
      <c r="K23" s="4"/>
      <c r="L23" s="4"/>
      <c r="M23" s="4"/>
      <c r="N23" s="4"/>
    </row>
    <row r="24" spans="1:47" s="3" customFormat="1" hidden="1" x14ac:dyDescent="0.3">
      <c r="C24" s="4"/>
      <c r="H24" s="4"/>
      <c r="I24" s="4"/>
      <c r="J24" s="4"/>
      <c r="K24" s="4"/>
      <c r="L24" s="4"/>
      <c r="M24" s="4"/>
      <c r="N24" s="4"/>
    </row>
    <row r="25" spans="1:47" s="3" customFormat="1" hidden="1" x14ac:dyDescent="0.3">
      <c r="C25" s="4"/>
      <c r="H25" s="4"/>
      <c r="I25" s="4"/>
      <c r="J25" s="4"/>
      <c r="K25" s="4"/>
      <c r="L25" s="4"/>
      <c r="M25" s="4"/>
      <c r="N25" s="4"/>
    </row>
    <row r="26" spans="1:47" s="3" customFormat="1" hidden="1" x14ac:dyDescent="0.3">
      <c r="C26" s="4"/>
      <c r="H26" s="4"/>
      <c r="I26" s="4"/>
      <c r="J26" s="4"/>
      <c r="K26" s="4"/>
      <c r="L26" s="4"/>
      <c r="M26" s="4"/>
      <c r="N26" s="4"/>
    </row>
    <row r="27" spans="1:47" s="3" customFormat="1" hidden="1" x14ac:dyDescent="0.3">
      <c r="C27" s="4"/>
      <c r="H27" s="4"/>
      <c r="I27" s="4"/>
      <c r="J27" s="4"/>
      <c r="K27" s="4"/>
      <c r="L27" s="4"/>
      <c r="M27" s="4"/>
      <c r="N27" s="4"/>
    </row>
    <row r="28" spans="1:47" s="3" customFormat="1" hidden="1" x14ac:dyDescent="0.3"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1:47" s="3" customFormat="1" hidden="1" x14ac:dyDescent="0.3"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47" s="3" customFormat="1" hidden="1" x14ac:dyDescent="0.3"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47" s="3" customFormat="1" hidden="1" x14ac:dyDescent="0.3"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</row>
    <row r="32" spans="1:47" s="3" customFormat="1" hidden="1" x14ac:dyDescent="0.3"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</row>
    <row r="33" spans="3:14" s="3" customFormat="1" hidden="1" x14ac:dyDescent="0.3"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</row>
    <row r="34" spans="3:14" s="3" customFormat="1" hidden="1" x14ac:dyDescent="0.3"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</row>
    <row r="35" spans="3:14" s="3" customFormat="1" hidden="1" x14ac:dyDescent="0.3"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</row>
    <row r="36" spans="3:14" s="3" customFormat="1" hidden="1" x14ac:dyDescent="0.3"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</row>
    <row r="37" spans="3:14" s="3" customFormat="1" hidden="1" x14ac:dyDescent="0.3"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</row>
    <row r="38" spans="3:14" s="3" customFormat="1" hidden="1" x14ac:dyDescent="0.3"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</row>
    <row r="39" spans="3:14" s="3" customFormat="1" hidden="1" x14ac:dyDescent="0.3"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</row>
    <row r="40" spans="3:14" s="3" customFormat="1" hidden="1" x14ac:dyDescent="0.3"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</row>
    <row r="41" spans="3:14" s="3" customFormat="1" hidden="1" x14ac:dyDescent="0.3"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</row>
    <row r="42" spans="3:14" s="3" customFormat="1" hidden="1" x14ac:dyDescent="0.3"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</row>
  </sheetData>
  <sheetProtection algorithmName="SHA-512" hashValue="+xiJGs0j1bt0/4AaahCZcXW2iw2cnejyH6uwLZqHh70Ob96B2FdH827AHP4Dem81J25HRNar1LDTSLXLRMDB7g==" saltValue="tNTGlFAIho8z21UKYsjL9g==" spinCount="100000" sheet="1" objects="1" scenarios="1"/>
  <mergeCells count="38">
    <mergeCell ref="C2:O2"/>
    <mergeCell ref="C4:H4"/>
    <mergeCell ref="C10:D10"/>
    <mergeCell ref="C11:D11"/>
    <mergeCell ref="H3:O3"/>
    <mergeCell ref="H8:O8"/>
    <mergeCell ref="I10:O10"/>
    <mergeCell ref="E11:G11"/>
    <mergeCell ref="E10:G10"/>
    <mergeCell ref="M14:N14"/>
    <mergeCell ref="M15:N15"/>
    <mergeCell ref="I14:J14"/>
    <mergeCell ref="I15:J15"/>
    <mergeCell ref="I11:K11"/>
    <mergeCell ref="L11:N11"/>
    <mergeCell ref="K13:L13"/>
    <mergeCell ref="M13:N13"/>
    <mergeCell ref="K14:L14"/>
    <mergeCell ref="K15:L15"/>
    <mergeCell ref="C12:D13"/>
    <mergeCell ref="E12:G13"/>
    <mergeCell ref="E18:G18"/>
    <mergeCell ref="E17:G17"/>
    <mergeCell ref="I16:J16"/>
    <mergeCell ref="C17:D17"/>
    <mergeCell ref="C18:D18"/>
    <mergeCell ref="C14:D14"/>
    <mergeCell ref="C15:D15"/>
    <mergeCell ref="E14:G14"/>
    <mergeCell ref="E15:G15"/>
    <mergeCell ref="M16:N16"/>
    <mergeCell ref="I17:J17"/>
    <mergeCell ref="K17:L17"/>
    <mergeCell ref="M17:N17"/>
    <mergeCell ref="I18:J18"/>
    <mergeCell ref="K18:L18"/>
    <mergeCell ref="M18:N18"/>
    <mergeCell ref="K16:L16"/>
  </mergeCells>
  <conditionalFormatting sqref="I17:L18 I14:J16">
    <cfRule type="cellIs" dxfId="1" priority="2" operator="greaterThan">
      <formula>$L$11</formula>
    </cfRule>
  </conditionalFormatting>
  <conditionalFormatting sqref="K14:L16">
    <cfRule type="cellIs" dxfId="0" priority="1" operator="greaterThan">
      <formula>$L$11</formula>
    </cfRule>
  </conditionalFormatting>
  <dataValidations xWindow="846" yWindow="525" count="5">
    <dataValidation type="custom" errorStyle="information" allowBlank="1" showErrorMessage="1" errorTitle="IMPORTANTE" error="EXCEDE PORCENTAJE A ASIGNAR" sqref="K18:L18">
      <formula1>SUM(K14:L18)&lt;101%</formula1>
    </dataValidation>
    <dataValidation type="custom" errorStyle="information" allowBlank="1" showErrorMessage="1" errorTitle="IMPORTANTE" error="EXCEDE PORCENTAJE A ASIGNAR" sqref="K14:L14">
      <formula1>SUM(K14:L18)&lt;101%</formula1>
    </dataValidation>
    <dataValidation type="custom" errorStyle="information" allowBlank="1" showErrorMessage="1" errorTitle="IMPORTANTE" error="EXCEDE PORCENTAJE A ASIGNAR" sqref="K15:L15">
      <formula1>SUM(K14:L18)&lt;101%</formula1>
    </dataValidation>
    <dataValidation type="custom" errorStyle="information" allowBlank="1" showErrorMessage="1" errorTitle="IMPORTANTE" error="EXCEDE PORCENTAJE A ASIGNAR" sqref="K16:L16">
      <formula1>SUM(K14:L18)&lt;101%</formula1>
    </dataValidation>
    <dataValidation type="custom" errorStyle="information" allowBlank="1" showErrorMessage="1" errorTitle="IMPORTANTE" error="EXCEDE PORCENTAJE A ASIGNAR" sqref="K17:L17">
      <formula1>SUM(K14:L18)&lt;101%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Macro3">
                <anchor moveWithCells="1" sizeWithCells="1">
                  <from>
                    <xdr:col>14</xdr:col>
                    <xdr:colOff>381000</xdr:colOff>
                    <xdr:row>16</xdr:row>
                    <xdr:rowOff>180975</xdr:rowOff>
                  </from>
                  <to>
                    <xdr:col>15</xdr:col>
                    <xdr:colOff>561975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Macro4">
                <anchor moveWithCells="1" sizeWithCells="1">
                  <from>
                    <xdr:col>14</xdr:col>
                    <xdr:colOff>409575</xdr:colOff>
                    <xdr:row>14</xdr:row>
                    <xdr:rowOff>285750</xdr:rowOff>
                  </from>
                  <to>
                    <xdr:col>15</xdr:col>
                    <xdr:colOff>590550</xdr:colOff>
                    <xdr:row>15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846" yWindow="525" count="3">
        <x14:dataValidation type="list" allowBlank="1" showInputMessage="1" showErrorMessage="1">
          <x14:formula1>
            <xm:f>Hoja2!$C$3:$C$5</xm:f>
          </x14:formula1>
          <xm:sqref>E11</xm:sqref>
        </x14:dataValidation>
        <x14:dataValidation type="list" allowBlank="1" showInputMessage="1" showErrorMessage="1">
          <x14:formula1>
            <xm:f>Hoja2!$B$9:$B$18</xm:f>
          </x14:formula1>
          <xm:sqref>L12:N12</xm:sqref>
        </x14:dataValidation>
        <x14:dataValidation type="list" allowBlank="1" showInputMessage="1" showErrorMessage="1">
          <x14:formula1>
            <xm:f>Hoja2!$B$9:$B$13</xm:f>
          </x14:formula1>
          <xm:sqref>L11:N11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E18"/>
  <sheetViews>
    <sheetView workbookViewId="0">
      <selection activeCell="E14" sqref="E14"/>
    </sheetView>
  </sheetViews>
  <sheetFormatPr baseColWidth="10" defaultRowHeight="16.5" x14ac:dyDescent="0.25"/>
  <cols>
    <col min="3" max="3" width="11.42578125" style="2"/>
    <col min="4" max="4" width="13.85546875" style="2" customWidth="1"/>
    <col min="5" max="5" width="11.42578125" style="2"/>
  </cols>
  <sheetData>
    <row r="2" spans="2:5" x14ac:dyDescent="0.25">
      <c r="C2" s="2" t="s">
        <v>2</v>
      </c>
      <c r="D2" s="2" t="s">
        <v>3</v>
      </c>
    </row>
    <row r="3" spans="2:5" x14ac:dyDescent="0.25">
      <c r="B3" s="2">
        <v>40</v>
      </c>
      <c r="C3" s="2">
        <v>34</v>
      </c>
      <c r="D3" s="2">
        <v>1.98</v>
      </c>
      <c r="E3" s="2">
        <f>B3+C3</f>
        <v>74</v>
      </c>
    </row>
    <row r="4" spans="2:5" x14ac:dyDescent="0.25">
      <c r="B4" s="2">
        <v>40</v>
      </c>
      <c r="C4" s="2">
        <v>51</v>
      </c>
      <c r="D4" s="2">
        <v>3.37</v>
      </c>
      <c r="E4" s="2">
        <f t="shared" ref="E4:E5" si="0">B4+C4</f>
        <v>91</v>
      </c>
    </row>
    <row r="5" spans="2:5" x14ac:dyDescent="0.25">
      <c r="B5" s="2">
        <v>40</v>
      </c>
      <c r="C5" s="2">
        <v>68</v>
      </c>
      <c r="D5" s="2">
        <v>4.96</v>
      </c>
      <c r="E5" s="2">
        <f t="shared" si="0"/>
        <v>108</v>
      </c>
    </row>
    <row r="8" spans="2:5" x14ac:dyDescent="0.25">
      <c r="B8" s="38" t="s">
        <v>18</v>
      </c>
    </row>
    <row r="9" spans="2:5" x14ac:dyDescent="0.3">
      <c r="B9" s="1">
        <v>1</v>
      </c>
    </row>
    <row r="10" spans="2:5" x14ac:dyDescent="0.3">
      <c r="B10" s="1">
        <v>2</v>
      </c>
    </row>
    <row r="11" spans="2:5" x14ac:dyDescent="0.3">
      <c r="B11" s="1">
        <v>3</v>
      </c>
    </row>
    <row r="12" spans="2:5" x14ac:dyDescent="0.3">
      <c r="B12" s="1">
        <v>4</v>
      </c>
    </row>
    <row r="13" spans="2:5" x14ac:dyDescent="0.3">
      <c r="B13" s="1">
        <v>5</v>
      </c>
    </row>
    <row r="14" spans="2:5" x14ac:dyDescent="0.3">
      <c r="B14" s="1">
        <v>6</v>
      </c>
    </row>
    <row r="15" spans="2:5" x14ac:dyDescent="0.3">
      <c r="B15" s="1">
        <v>7</v>
      </c>
    </row>
    <row r="16" spans="2:5" x14ac:dyDescent="0.3">
      <c r="B16" s="1">
        <v>8</v>
      </c>
    </row>
    <row r="17" spans="2:2" x14ac:dyDescent="0.3">
      <c r="B17" s="1">
        <v>9</v>
      </c>
    </row>
    <row r="18" spans="2:2" x14ac:dyDescent="0.3">
      <c r="B18" s="1">
        <v>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SIMULADOR</vt:lpstr>
      <vt:lpstr>Hoja2</vt:lpstr>
      <vt:lpstr>Hoja3</vt:lpstr>
      <vt:lpstr>BEN</vt:lpstr>
      <vt:lpstr>CUOTA</vt:lpstr>
      <vt:lpstr>MESES</vt:lpstr>
      <vt:lpstr>MESES2</vt:lpstr>
      <vt:lpstr>MONTO1</vt:lpstr>
      <vt:lpstr>MONTO2</vt:lpstr>
      <vt:lpstr>MONTO3</vt:lpstr>
      <vt:lpstr>MONTO4</vt:lpstr>
      <vt:lpstr>MONTO5</vt:lpstr>
      <vt:lpstr>NOMINA</vt:lpstr>
      <vt:lpstr>NOMINAMES</vt:lpstr>
      <vt:lpstr>NOMINAQUIN</vt:lpstr>
      <vt:lpstr>NUMERO</vt:lpstr>
      <vt:lpstr>PERCEPCION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ALEJANDRA ACACIA FERRAEZ CASTAÑEDA</dc:creator>
  <cp:lastModifiedBy>ERNESTINA AURORA MARTINEZ SALINAS</cp:lastModifiedBy>
  <dcterms:created xsi:type="dcterms:W3CDTF">2018-04-05T17:59:02Z</dcterms:created>
  <dcterms:modified xsi:type="dcterms:W3CDTF">2020-04-24T14:30:03Z</dcterms:modified>
</cp:coreProperties>
</file>